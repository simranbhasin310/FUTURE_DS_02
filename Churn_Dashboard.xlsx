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ran\Downloads\"/>
    </mc:Choice>
  </mc:AlternateContent>
  <xr:revisionPtr revIDLastSave="0" documentId="8_{E6899EC6-5EF0-4067-9313-78BEEDDC0D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  <sheet name="Dashboard" sheetId="2" r:id="rId2"/>
    <sheet name="Source Summar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D6" i="2"/>
  <c r="A6" i="2"/>
  <c r="B7" i="1"/>
  <c r="J6" i="2" s="1"/>
</calcChain>
</file>

<file path=xl/sharedStrings.xml><?xml version="1.0" encoding="utf-8"?>
<sst xmlns="http://schemas.openxmlformats.org/spreadsheetml/2006/main" count="62" uniqueCount="55">
  <si>
    <t>METRICS &amp; CALCULATIONS</t>
  </si>
  <si>
    <t>Metric</t>
  </si>
  <si>
    <t>Value</t>
  </si>
  <si>
    <t>Source / calculation</t>
  </si>
  <si>
    <t>Total customers</t>
  </si>
  <si>
    <t>Aggregate total stated in uploaded CSV.</t>
  </si>
  <si>
    <t>Churned customers</t>
  </si>
  <si>
    <t>Aggregate churned count stated in uploaded CSV.</t>
  </si>
  <si>
    <t>Active customers</t>
  </si>
  <si>
    <t>Aggregate active count stated in uploaded CSV.</t>
  </si>
  <si>
    <t>Calculated churn rate</t>
  </si>
  <si>
    <t>Churned ÷ total; dashboard rounds to one decimal place.</t>
  </si>
  <si>
    <t>Source-reported churn rate</t>
  </si>
  <si>
    <t>The uploaded CSV reports 26.50%.</t>
  </si>
  <si>
    <t>Status</t>
  </si>
  <si>
    <t>Customers</t>
  </si>
  <si>
    <t>Churned</t>
  </si>
  <si>
    <t>Active</t>
  </si>
  <si>
    <t>CUSTOMER CHURN | DASHBOARD</t>
  </si>
  <si>
    <t>Updated workbook: summary dashboard, source values, and notes.</t>
  </si>
  <si>
    <t>TOTAL CUSTOMERS</t>
  </si>
  <si>
    <t>CHURNED CUSTOMERS</t>
  </si>
  <si>
    <t>ACTIVE CUSTOMERS</t>
  </si>
  <si>
    <t>CHURN RATE</t>
  </si>
  <si>
    <t>SOURCE INSIGHTS</t>
  </si>
  <si>
    <t>Month-to-month customers show the highest churn.</t>
  </si>
  <si>
    <t>Fiber optic customers have higher churn than DSL customers.</t>
  </si>
  <si>
    <t>Customers with fewer services show higher churn.</t>
  </si>
  <si>
    <t>Longer-tenure customers generally show lower churn.</t>
  </si>
  <si>
    <t>LIMITATION  |  The uploaded file is an aggregate summary, not customer-level data. Segment statements are preserved as supplied but cannot be recalculated or independently verified from this file.</t>
  </si>
  <si>
    <t>UPLOADED CSV | NORMALIZED SUMMARY</t>
  </si>
  <si>
    <t>Source item</t>
  </si>
  <si>
    <t>Value from uploaded CSV</t>
  </si>
  <si>
    <t>7,043</t>
  </si>
  <si>
    <t>1,869</t>
  </si>
  <si>
    <t>Churn rate</t>
  </si>
  <si>
    <t>26.50%</t>
  </si>
  <si>
    <t>5,174</t>
  </si>
  <si>
    <t>Key insight 1</t>
  </si>
  <si>
    <t>Overall churn rate: 26.5%.</t>
  </si>
  <si>
    <t>Key insight 2</t>
  </si>
  <si>
    <t>Key insight 3</t>
  </si>
  <si>
    <t>Key insight 4</t>
  </si>
  <si>
    <t>Key insight 5</t>
  </si>
  <si>
    <t>NOTES &amp; DATA LIMITS</t>
  </si>
  <si>
    <t>Topic</t>
  </si>
  <si>
    <t>Details</t>
  </si>
  <si>
    <t>Source file</t>
  </si>
  <si>
    <t>Customer_Churn_1790797970637.csv</t>
  </si>
  <si>
    <t>Rate calculation</t>
  </si>
  <si>
    <t>1,869 ÷ 7,043 = 26.54%, rounds to 26.5%.</t>
  </si>
  <si>
    <t>Count check</t>
  </si>
  <si>
    <t>1,869 churned + 5,174 active = 7,043 total.</t>
  </si>
  <si>
    <t>Scope</t>
  </si>
  <si>
    <t>No customer-level records or segment counts were present; source insights are preserved but not independently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</si>
</sst>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9"/>
      <color rgb="FF66778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6F2F4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 style="thin">
        <color indexed="64"/>
      </right>
      <top style="thin">
        <color rgb="FFD8E1E8"/>
      </top>
      <bottom style="thin">
        <color rgb="FFD8E1E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indexed="64"/>
      </left>
      <right style="thin">
        <color rgb="FFD8E1E8"/>
      </right>
      <top style="thin">
        <color indexed="64"/>
      </top>
      <bottom style="thin">
        <color rgb="FFD8E1E8"/>
      </bottom>
      <diagonal/>
    </border>
    <border>
      <left style="thin">
        <color rgb="FFD8E1E8"/>
      </left>
      <right style="thin">
        <color rgb="FFD8E1E8"/>
      </right>
      <top style="thin">
        <color indexed="64"/>
      </top>
      <bottom style="thin">
        <color rgb="FFD8E1E8"/>
      </bottom>
      <diagonal/>
    </border>
    <border>
      <left style="thin">
        <color rgb="FFD8E1E8"/>
      </left>
      <right style="thin">
        <color indexed="64"/>
      </right>
      <top style="thin">
        <color indexed="64"/>
      </top>
      <bottom style="thin">
        <color rgb="FFD8E1E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4" fillId="4" borderId="0" xfId="0" applyFont="1" applyFill="1"/>
    <xf numFmtId="0" fontId="6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3" fontId="7" fillId="4" borderId="9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3" fillId="4" borderId="4" xfId="0" applyFont="1" applyFill="1" applyBorder="1"/>
    <xf numFmtId="0" fontId="3" fillId="4" borderId="0" xfId="0" applyFont="1" applyFill="1" applyBorder="1"/>
    <xf numFmtId="0" fontId="3" fillId="4" borderId="5" xfId="0" applyFont="1" applyFill="1" applyBorder="1"/>
    <xf numFmtId="0" fontId="3" fillId="4" borderId="0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/>
    <xf numFmtId="0" fontId="3" fillId="4" borderId="11" xfId="0" applyFont="1" applyFill="1" applyBorder="1"/>
    <xf numFmtId="0" fontId="3" fillId="4" borderId="7" xfId="0" applyFont="1" applyFill="1" applyBorder="1"/>
    <xf numFmtId="0" fontId="6" fillId="4" borderId="12" xfId="0" applyFont="1" applyFill="1" applyBorder="1" applyAlignment="1">
      <alignment horizontal="center" vertical="center"/>
    </xf>
    <xf numFmtId="3" fontId="7" fillId="4" borderId="12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3" fontId="3" fillId="4" borderId="0" xfId="0" applyNumberFormat="1" applyFont="1" applyFill="1"/>
    <xf numFmtId="10" fontId="3" fillId="4" borderId="0" xfId="0" applyNumberFormat="1" applyFont="1" applyFill="1"/>
    <xf numFmtId="0" fontId="8" fillId="4" borderId="0" xfId="0" applyFont="1" applyFill="1" applyAlignment="1">
      <alignment vertical="top" wrapText="1"/>
    </xf>
    <xf numFmtId="0" fontId="5" fillId="4" borderId="0" xfId="0" applyFont="1" applyFill="1"/>
    <xf numFmtId="0" fontId="8" fillId="4" borderId="0" xfId="0" applyFont="1" applyFill="1"/>
    <xf numFmtId="3" fontId="8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Active vs. churned customers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Customer status</c:v>
          </c:tx>
          <c:dPt>
            <c:idx val="0"/>
            <c:bubble3D val="0"/>
            <c:spPr>
              <a:solidFill>
                <a:srgbClr val="E89543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2786-4DDF-9FA1-5323EB1BFB9D}"/>
              </c:ext>
            </c:extLst>
          </c:dPt>
          <c:dPt>
            <c:idx val="1"/>
            <c:bubble3D val="0"/>
            <c:spPr>
              <a:solidFill>
                <a:srgbClr val="278C91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786-4DDF-9FA1-5323EB1BFB9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Metrics!$E$4:$E$5</c:f>
              <c:strCache>
                <c:ptCount val="2"/>
                <c:pt idx="0">
                  <c:v>Churned</c:v>
                </c:pt>
                <c:pt idx="1">
                  <c:v>Active</c:v>
                </c:pt>
              </c:strCache>
            </c:strRef>
          </c:cat>
          <c:val>
            <c:numRef>
              <c:f>Metrics!$F$4:$F$5</c:f>
              <c:numCache>
                <c:formatCode>#,##0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6-4DDF-9FA1-5323EB1BF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106680</xdr:rowOff>
    </xdr:from>
    <xdr:to>
      <xdr:col>5</xdr:col>
      <xdr:colOff>861060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8C91"/>
  </sheetPr>
  <dimension ref="A1:F9"/>
  <sheetViews>
    <sheetView showGridLines="0" tabSelected="1" workbookViewId="0">
      <pane ySplit="3" topLeftCell="A4" activePane="bottomLeft" state="frozen"/>
      <selection pane="bottomLeft" activeCell="B17" sqref="B17"/>
    </sheetView>
  </sheetViews>
  <sheetFormatPr defaultRowHeight="14.4" x14ac:dyDescent="0.3"/>
  <cols>
    <col min="1" max="1" width="29.6640625" customWidth="1"/>
    <col min="2" max="2" width="18.6640625" customWidth="1"/>
    <col min="3" max="3" width="70.6640625" customWidth="1"/>
    <col min="5" max="5" width="18.6640625" customWidth="1"/>
    <col min="6" max="6" width="16.6640625" customWidth="1"/>
  </cols>
  <sheetData>
    <row r="1" spans="1:6" ht="36" customHeight="1" x14ac:dyDescent="0.3">
      <c r="A1" s="1" t="s">
        <v>0</v>
      </c>
      <c r="B1" s="1"/>
      <c r="C1" s="1"/>
    </row>
    <row r="3" spans="1:6" x14ac:dyDescent="0.3">
      <c r="A3" s="3" t="s">
        <v>1</v>
      </c>
      <c r="B3" s="3" t="s">
        <v>2</v>
      </c>
      <c r="C3" s="3" t="s">
        <v>3</v>
      </c>
      <c r="D3" s="14"/>
      <c r="E3" s="3" t="s">
        <v>14</v>
      </c>
      <c r="F3" s="3" t="s">
        <v>15</v>
      </c>
    </row>
    <row r="4" spans="1:6" x14ac:dyDescent="0.3">
      <c r="A4" s="40" t="s">
        <v>4</v>
      </c>
      <c r="B4" s="41">
        <v>7043</v>
      </c>
      <c r="C4" s="43" t="s">
        <v>5</v>
      </c>
      <c r="D4" s="45"/>
      <c r="E4" s="43" t="s">
        <v>16</v>
      </c>
      <c r="F4" s="46">
        <v>1869</v>
      </c>
    </row>
    <row r="5" spans="1:6" x14ac:dyDescent="0.3">
      <c r="A5" s="40" t="s">
        <v>6</v>
      </c>
      <c r="B5" s="41">
        <v>1869</v>
      </c>
      <c r="C5" s="43" t="s">
        <v>7</v>
      </c>
      <c r="D5" s="45"/>
      <c r="E5" s="43" t="s">
        <v>17</v>
      </c>
      <c r="F5" s="46">
        <v>5174</v>
      </c>
    </row>
    <row r="6" spans="1:6" x14ac:dyDescent="0.3">
      <c r="A6" s="40" t="s">
        <v>8</v>
      </c>
      <c r="B6" s="41">
        <v>5174</v>
      </c>
      <c r="C6" s="43" t="s">
        <v>9</v>
      </c>
      <c r="D6" s="44"/>
      <c r="E6" s="44"/>
      <c r="F6" s="44"/>
    </row>
    <row r="7" spans="1:6" x14ac:dyDescent="0.3">
      <c r="A7" s="40" t="s">
        <v>10</v>
      </c>
      <c r="B7" s="42">
        <f>IFERROR(B5/B4,0)</f>
        <v>0.26536987079369589</v>
      </c>
      <c r="C7" s="43" t="s">
        <v>11</v>
      </c>
      <c r="D7" s="44"/>
      <c r="E7" s="44"/>
      <c r="F7" s="44"/>
    </row>
    <row r="8" spans="1:6" x14ac:dyDescent="0.3">
      <c r="A8" s="40" t="s">
        <v>12</v>
      </c>
      <c r="B8" s="42">
        <v>0.26500000000000001</v>
      </c>
      <c r="C8" s="43" t="s">
        <v>13</v>
      </c>
      <c r="D8" s="44"/>
      <c r="E8" s="44"/>
      <c r="F8" s="44"/>
    </row>
    <row r="9" spans="1:6" x14ac:dyDescent="0.3">
      <c r="A9" s="14"/>
      <c r="B9" s="14"/>
      <c r="C9" s="14"/>
      <c r="D9" s="14"/>
      <c r="E9" s="14"/>
      <c r="F9" s="1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24D"/>
    <pageSetUpPr fitToPage="1"/>
  </sheetPr>
  <dimension ref="A1:L29"/>
  <sheetViews>
    <sheetView showGridLines="0" topLeftCell="A3" workbookViewId="0">
      <selection activeCell="N13" sqref="N13"/>
    </sheetView>
  </sheetViews>
  <sheetFormatPr defaultRowHeight="14.4" x14ac:dyDescent="0.3"/>
  <cols>
    <col min="1" max="12" width="12.6640625" customWidth="1"/>
  </cols>
  <sheetData>
    <row r="1" spans="1:12" ht="30" customHeight="1" x14ac:dyDescent="0.3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9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23" t="s">
        <v>19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</row>
    <row r="4" spans="1:12" x14ac:dyDescent="0.3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</row>
    <row r="5" spans="1:12" ht="24" customHeight="1" x14ac:dyDescent="0.3">
      <c r="A5" s="36" t="s">
        <v>20</v>
      </c>
      <c r="B5" s="37"/>
      <c r="C5" s="37"/>
      <c r="D5" s="37" t="s">
        <v>21</v>
      </c>
      <c r="E5" s="37"/>
      <c r="F5" s="38"/>
      <c r="G5" s="34" t="s">
        <v>22</v>
      </c>
      <c r="H5" s="15"/>
      <c r="I5" s="15"/>
      <c r="J5" s="15" t="s">
        <v>23</v>
      </c>
      <c r="K5" s="15"/>
      <c r="L5" s="18"/>
    </row>
    <row r="6" spans="1:12" ht="24" customHeight="1" x14ac:dyDescent="0.3">
      <c r="A6" s="19">
        <f>Metrics!B4</f>
        <v>7043</v>
      </c>
      <c r="B6" s="16"/>
      <c r="C6" s="16"/>
      <c r="D6" s="16">
        <f>Metrics!B5</f>
        <v>1869</v>
      </c>
      <c r="E6" s="16"/>
      <c r="F6" s="39"/>
      <c r="G6" s="35">
        <f>Metrics!B6</f>
        <v>5174</v>
      </c>
      <c r="H6" s="16"/>
      <c r="I6" s="16"/>
      <c r="J6" s="17">
        <f>Metrics!B7</f>
        <v>0.26536987079369589</v>
      </c>
      <c r="K6" s="17"/>
      <c r="L6" s="20"/>
    </row>
    <row r="7" spans="1:12" ht="24" customHeight="1" x14ac:dyDescent="0.3">
      <c r="A7" s="19"/>
      <c r="B7" s="16"/>
      <c r="C7" s="16"/>
      <c r="D7" s="16"/>
      <c r="E7" s="16"/>
      <c r="F7" s="39"/>
      <c r="G7" s="35"/>
      <c r="H7" s="16"/>
      <c r="I7" s="16"/>
      <c r="J7" s="17"/>
      <c r="K7" s="17"/>
      <c r="L7" s="20"/>
    </row>
    <row r="8" spans="1:12" ht="24" customHeight="1" x14ac:dyDescent="0.3">
      <c r="A8" s="19"/>
      <c r="B8" s="16"/>
      <c r="C8" s="16"/>
      <c r="D8" s="16"/>
      <c r="E8" s="16"/>
      <c r="F8" s="39"/>
      <c r="G8" s="35"/>
      <c r="H8" s="16"/>
      <c r="I8" s="16"/>
      <c r="J8" s="17"/>
      <c r="K8" s="17"/>
      <c r="L8" s="20"/>
    </row>
    <row r="9" spans="1:12" x14ac:dyDescent="0.3">
      <c r="A9" s="26"/>
      <c r="B9" s="27"/>
      <c r="C9" s="27"/>
      <c r="D9" s="27"/>
      <c r="E9" s="27"/>
      <c r="F9" s="28"/>
      <c r="G9" s="27"/>
      <c r="H9" s="27"/>
      <c r="I9" s="27"/>
      <c r="J9" s="27"/>
      <c r="K9" s="27"/>
      <c r="L9" s="28"/>
    </row>
    <row r="10" spans="1:12" x14ac:dyDescent="0.3">
      <c r="A10" s="26"/>
      <c r="B10" s="27"/>
      <c r="C10" s="27"/>
      <c r="D10" s="27"/>
      <c r="E10" s="27"/>
      <c r="F10" s="28"/>
      <c r="G10" s="27"/>
      <c r="H10" s="21" t="s">
        <v>24</v>
      </c>
      <c r="I10" s="21"/>
      <c r="J10" s="21"/>
      <c r="K10" s="21"/>
      <c r="L10" s="22"/>
    </row>
    <row r="11" spans="1:12" ht="42" customHeight="1" x14ac:dyDescent="0.3">
      <c r="A11" s="26"/>
      <c r="B11" s="27"/>
      <c r="C11" s="27"/>
      <c r="D11" s="27"/>
      <c r="E11" s="27"/>
      <c r="F11" s="28"/>
      <c r="G11" s="27"/>
      <c r="H11" s="29" t="s">
        <v>25</v>
      </c>
      <c r="I11" s="29"/>
      <c r="J11" s="29"/>
      <c r="K11" s="29"/>
      <c r="L11" s="30"/>
    </row>
    <row r="12" spans="1:12" ht="42" customHeight="1" x14ac:dyDescent="0.3">
      <c r="A12" s="26"/>
      <c r="B12" s="27"/>
      <c r="C12" s="27"/>
      <c r="D12" s="27"/>
      <c r="E12" s="27"/>
      <c r="F12" s="28"/>
      <c r="G12" s="27"/>
      <c r="H12" s="29" t="s">
        <v>26</v>
      </c>
      <c r="I12" s="29"/>
      <c r="J12" s="29"/>
      <c r="K12" s="29"/>
      <c r="L12" s="30"/>
    </row>
    <row r="13" spans="1:12" ht="42" customHeight="1" x14ac:dyDescent="0.3">
      <c r="A13" s="26"/>
      <c r="B13" s="27"/>
      <c r="C13" s="27"/>
      <c r="D13" s="27"/>
      <c r="E13" s="27"/>
      <c r="F13" s="28"/>
      <c r="G13" s="27"/>
      <c r="H13" s="29" t="s">
        <v>27</v>
      </c>
      <c r="I13" s="29"/>
      <c r="J13" s="29"/>
      <c r="K13" s="29"/>
      <c r="L13" s="30"/>
    </row>
    <row r="14" spans="1:12" ht="42" customHeight="1" x14ac:dyDescent="0.3">
      <c r="A14" s="26"/>
      <c r="B14" s="27"/>
      <c r="C14" s="27"/>
      <c r="D14" s="27"/>
      <c r="E14" s="27"/>
      <c r="F14" s="28"/>
      <c r="G14" s="27"/>
      <c r="H14" s="29" t="s">
        <v>28</v>
      </c>
      <c r="I14" s="29"/>
      <c r="J14" s="29"/>
      <c r="K14" s="29"/>
      <c r="L14" s="30"/>
    </row>
    <row r="15" spans="1:12" x14ac:dyDescent="0.3">
      <c r="A15" s="26"/>
      <c r="B15" s="27"/>
      <c r="C15" s="27"/>
      <c r="D15" s="27"/>
      <c r="E15" s="27"/>
      <c r="F15" s="28"/>
      <c r="G15" s="27"/>
      <c r="H15" s="27"/>
      <c r="I15" s="27"/>
      <c r="J15" s="27"/>
      <c r="K15" s="27"/>
      <c r="L15" s="28"/>
    </row>
    <row r="16" spans="1:12" x14ac:dyDescent="0.3">
      <c r="A16" s="26"/>
      <c r="B16" s="27"/>
      <c r="C16" s="27"/>
      <c r="D16" s="27"/>
      <c r="E16" s="27"/>
      <c r="F16" s="28"/>
      <c r="G16" s="27"/>
      <c r="H16" s="27"/>
      <c r="I16" s="27"/>
      <c r="J16" s="27"/>
      <c r="K16" s="27"/>
      <c r="L16" s="28"/>
    </row>
    <row r="17" spans="1:12" x14ac:dyDescent="0.3">
      <c r="A17" s="26"/>
      <c r="B17" s="27"/>
      <c r="C17" s="27"/>
      <c r="D17" s="27"/>
      <c r="E17" s="27"/>
      <c r="F17" s="28"/>
      <c r="G17" s="27"/>
      <c r="H17" s="27"/>
      <c r="I17" s="27"/>
      <c r="J17" s="27"/>
      <c r="K17" s="27"/>
      <c r="L17" s="28"/>
    </row>
    <row r="18" spans="1:12" x14ac:dyDescent="0.3">
      <c r="A18" s="31"/>
      <c r="B18" s="32"/>
      <c r="C18" s="32"/>
      <c r="D18" s="32"/>
      <c r="E18" s="32"/>
      <c r="F18" s="33"/>
      <c r="G18" s="32"/>
      <c r="H18" s="32"/>
      <c r="I18" s="32"/>
      <c r="J18" s="32"/>
      <c r="K18" s="32"/>
      <c r="L18" s="33"/>
    </row>
    <row r="28" spans="1:12" ht="30" customHeight="1" x14ac:dyDescent="0.3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30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</sheetData>
  <mergeCells count="16">
    <mergeCell ref="A28:L29"/>
    <mergeCell ref="H10:L10"/>
    <mergeCell ref="H11:L11"/>
    <mergeCell ref="H12:L12"/>
    <mergeCell ref="H13:L13"/>
    <mergeCell ref="H14:L14"/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9543"/>
  </sheetPr>
  <dimension ref="A1:B12"/>
  <sheetViews>
    <sheetView showGridLines="0" workbookViewId="0">
      <pane ySplit="3" topLeftCell="A4" activePane="bottomLeft" state="frozen"/>
      <selection pane="bottomLeft" activeCell="A3" sqref="A3:B12"/>
    </sheetView>
  </sheetViews>
  <sheetFormatPr defaultRowHeight="14.4" x14ac:dyDescent="0.3"/>
  <cols>
    <col min="1" max="1" width="30.6640625" customWidth="1"/>
    <col min="2" max="2" width="95.6640625" customWidth="1"/>
  </cols>
  <sheetData>
    <row r="1" spans="1:2" ht="36" customHeight="1" x14ac:dyDescent="0.3">
      <c r="A1" s="1" t="s">
        <v>30</v>
      </c>
      <c r="B1" s="1"/>
    </row>
    <row r="3" spans="1:2" x14ac:dyDescent="0.3">
      <c r="A3" s="4" t="s">
        <v>31</v>
      </c>
      <c r="B3" s="5" t="s">
        <v>32</v>
      </c>
    </row>
    <row r="4" spans="1:2" ht="31.95" customHeight="1" x14ac:dyDescent="0.3">
      <c r="A4" s="10" t="s">
        <v>4</v>
      </c>
      <c r="B4" s="11" t="s">
        <v>33</v>
      </c>
    </row>
    <row r="5" spans="1:2" ht="31.95" customHeight="1" x14ac:dyDescent="0.3">
      <c r="A5" s="10" t="s">
        <v>6</v>
      </c>
      <c r="B5" s="11" t="s">
        <v>34</v>
      </c>
    </row>
    <row r="6" spans="1:2" ht="31.95" customHeight="1" x14ac:dyDescent="0.3">
      <c r="A6" s="10" t="s">
        <v>35</v>
      </c>
      <c r="B6" s="11" t="s">
        <v>36</v>
      </c>
    </row>
    <row r="7" spans="1:2" ht="31.95" customHeight="1" x14ac:dyDescent="0.3">
      <c r="A7" s="10" t="s">
        <v>8</v>
      </c>
      <c r="B7" s="11" t="s">
        <v>37</v>
      </c>
    </row>
    <row r="8" spans="1:2" ht="31.95" customHeight="1" x14ac:dyDescent="0.3">
      <c r="A8" s="10" t="s">
        <v>38</v>
      </c>
      <c r="B8" s="11" t="s">
        <v>39</v>
      </c>
    </row>
    <row r="9" spans="1:2" ht="31.95" customHeight="1" x14ac:dyDescent="0.3">
      <c r="A9" s="10" t="s">
        <v>40</v>
      </c>
      <c r="B9" s="11" t="s">
        <v>25</v>
      </c>
    </row>
    <row r="10" spans="1:2" ht="31.95" customHeight="1" x14ac:dyDescent="0.3">
      <c r="A10" s="10" t="s">
        <v>41</v>
      </c>
      <c r="B10" s="11" t="s">
        <v>26</v>
      </c>
    </row>
    <row r="11" spans="1:2" ht="31.95" customHeight="1" x14ac:dyDescent="0.3">
      <c r="A11" s="10" t="s">
        <v>42</v>
      </c>
      <c r="B11" s="11" t="s">
        <v>27</v>
      </c>
    </row>
    <row r="12" spans="1:2" ht="31.95" customHeight="1" x14ac:dyDescent="0.3">
      <c r="A12" s="12" t="s">
        <v>43</v>
      </c>
      <c r="B12" s="13" t="s">
        <v>28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workbookViewId="0">
      <selection activeCell="B10" sqref="B10"/>
    </sheetView>
  </sheetViews>
  <sheetFormatPr defaultRowHeight="14.4" x14ac:dyDescent="0.3"/>
  <cols>
    <col min="1" max="1" width="28.6640625" customWidth="1"/>
    <col min="2" max="2" width="105.6640625" customWidth="1"/>
  </cols>
  <sheetData>
    <row r="1" spans="1:2" ht="36" customHeight="1" x14ac:dyDescent="0.3">
      <c r="A1" s="1" t="s">
        <v>44</v>
      </c>
      <c r="B1" s="1"/>
    </row>
    <row r="3" spans="1:2" x14ac:dyDescent="0.3">
      <c r="A3" s="4" t="s">
        <v>45</v>
      </c>
      <c r="B3" s="5" t="s">
        <v>46</v>
      </c>
    </row>
    <row r="4" spans="1:2" ht="40.049999999999997" customHeight="1" x14ac:dyDescent="0.3">
      <c r="A4" s="6" t="s">
        <v>47</v>
      </c>
      <c r="B4" s="7" t="s">
        <v>48</v>
      </c>
    </row>
    <row r="5" spans="1:2" ht="40.049999999999997" customHeight="1" x14ac:dyDescent="0.3">
      <c r="A5" s="6" t="s">
        <v>49</v>
      </c>
      <c r="B5" s="7" t="s">
        <v>50</v>
      </c>
    </row>
    <row r="6" spans="1:2" ht="40.049999999999997" customHeight="1" x14ac:dyDescent="0.3">
      <c r="A6" s="6" t="s">
        <v>51</v>
      </c>
      <c r="B6" s="7" t="s">
        <v>52</v>
      </c>
    </row>
    <row r="7" spans="1:2" ht="40.049999999999997" customHeight="1" x14ac:dyDescent="0.3">
      <c r="A7" s="8" t="s">
        <v>53</v>
      </c>
      <c r="B7" s="9" t="s">
        <v>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Dashboard</vt:lpstr>
      <vt:lpstr>Source Summary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 .</cp:lastModifiedBy>
  <dcterms:created xsi:type="dcterms:W3CDTF">2026-09-30T20:05:57Z</dcterms:created>
  <dcterms:modified xsi:type="dcterms:W3CDTF">2026-09-30T20:09:51Z</dcterms:modified>
</cp:coreProperties>
</file>